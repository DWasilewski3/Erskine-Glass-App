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errikarafamac2/Library/Mobile Documents/com~apple~CloudDocs/Desktop/temporary/Dave Erskine Spreadsheets/"/>
    </mc:Choice>
  </mc:AlternateContent>
  <xr:revisionPtr revIDLastSave="0" documentId="13_ncr:1_{286E4D6F-8E12-EB41-AACE-3B457C8F9867}" xr6:coauthVersionLast="47" xr6:coauthVersionMax="47" xr10:uidLastSave="{00000000-0000-0000-0000-000000000000}"/>
  <bookViews>
    <workbookView xWindow="-40960" yWindow="-6540" windowWidth="40740" windowHeight="22540" xr2:uid="{00000000-000D-0000-FFFF-FFFF00000000}"/>
  </bookViews>
  <sheets>
    <sheet name="Enter Information" sheetId="1" r:id="rId1"/>
    <sheet name="Glass Needed" sheetId="5" r:id="rId2"/>
    <sheet name="LookUp Information" sheetId="3" r:id="rId3"/>
  </sheets>
  <definedNames>
    <definedName name="ExternalData_1" localSheetId="1" hidden="1">'Glass Needed'!$A$1:$J$2</definedName>
    <definedName name="NamedTable">GlassEntered[Type]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6" i="1" l="1"/>
  <c r="C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GetGlassNeeded" description="Connection to the 'GetGlassNeeded' query in the workbook." type="5" refreshedVersion="6" background="1" saveData="1">
    <dbPr connection="Provider=Microsoft.Mashup.OleDb.1;Data Source=$Workbook$;Location=GetGlassNeeded;Extended Properties=&quot;&quot;" command="SELECT * FROM [GetGlassNeeded]"/>
  </connection>
</connections>
</file>

<file path=xl/sharedStrings.xml><?xml version="1.0" encoding="utf-8"?>
<sst xmlns="http://schemas.openxmlformats.org/spreadsheetml/2006/main" count="70" uniqueCount="51">
  <si>
    <t>Date</t>
  </si>
  <si>
    <t>Glass Type</t>
  </si>
  <si>
    <t>Qty</t>
  </si>
  <si>
    <t>Price</t>
  </si>
  <si>
    <t>Total</t>
  </si>
  <si>
    <t>Width</t>
  </si>
  <si>
    <t>Height</t>
  </si>
  <si>
    <t>Type</t>
  </si>
  <si>
    <t>Name</t>
  </si>
  <si>
    <t>Thickness</t>
  </si>
  <si>
    <t>Grid</t>
  </si>
  <si>
    <t>Color</t>
  </si>
  <si>
    <t>SqFt</t>
  </si>
  <si>
    <t>White</t>
  </si>
  <si>
    <t>Colonial</t>
  </si>
  <si>
    <t>Tan</t>
  </si>
  <si>
    <t>Email Addresses</t>
  </si>
  <si>
    <t>roberttcoe@gmail.com</t>
  </si>
  <si>
    <t>bob_coe@yahoo.com</t>
  </si>
  <si>
    <t>erskineson@erskineson.com</t>
  </si>
  <si>
    <t>Order</t>
  </si>
  <si>
    <t xml:space="preserve">Glass Type </t>
  </si>
  <si>
    <t>Annealed</t>
  </si>
  <si>
    <t>LO E Annealed</t>
  </si>
  <si>
    <t>Annealed Tempered</t>
  </si>
  <si>
    <t>Bronze</t>
  </si>
  <si>
    <t>Sand Tone</t>
  </si>
  <si>
    <t>Black</t>
  </si>
  <si>
    <t>Vertical</t>
  </si>
  <si>
    <t>Horizontal</t>
  </si>
  <si>
    <t>Vertical Grids</t>
  </si>
  <si>
    <t>Horizontal Grids</t>
  </si>
  <si>
    <t>Email</t>
  </si>
  <si>
    <t>Tfee</t>
  </si>
  <si>
    <t>Factor</t>
  </si>
  <si>
    <t>Mup</t>
  </si>
  <si>
    <t>1/4 Annealed</t>
  </si>
  <si>
    <t>LO E Tempered</t>
  </si>
  <si>
    <t>1/4 LO E Tempered</t>
  </si>
  <si>
    <t>Contour</t>
  </si>
  <si>
    <t>1/4 LO E</t>
  </si>
  <si>
    <t>1/4 Annealed Temp.</t>
  </si>
  <si>
    <t>3/16 Anneal</t>
  </si>
  <si>
    <t>3/16 Annealed Temp.</t>
  </si>
  <si>
    <t>3/16 Raindrop</t>
  </si>
  <si>
    <t>Prairie</t>
  </si>
  <si>
    <t>Spacer</t>
  </si>
  <si>
    <t>HORI</t>
  </si>
  <si>
    <t>VERT</t>
  </si>
  <si>
    <t>Biege</t>
  </si>
  <si>
    <t>Thick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</si>
</sst>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13" fontId="0" fillId="0" borderId="0" xfId="0" applyNumberFormat="1"/>
    <xf numFmtId="12" fontId="0" fillId="0" borderId="0" xfId="0" applyNumberFormat="1"/>
    <xf numFmtId="0" fontId="3" fillId="0" borderId="0" xfId="1"/>
    <xf numFmtId="2" fontId="0" fillId="0" borderId="0" xfId="0" applyNumberFormat="1"/>
    <xf numFmtId="0" fontId="0" fillId="0" borderId="0" xfId="0" applyAlignment="1">
      <alignment horizontal="center" vertical="center"/>
    </xf>
    <xf numFmtId="9" fontId="0" fillId="0" borderId="0" xfId="3" applyFont="1"/>
    <xf numFmtId="2" fontId="0" fillId="0" borderId="0" xfId="0" applyNumberFormat="1" applyAlignment="1">
      <alignment horizontal="center" vertical="center"/>
    </xf>
    <xf numFmtId="2" fontId="0" fillId="0" borderId="0" xfId="3" applyNumberFormat="1" applyFont="1"/>
    <xf numFmtId="44" fontId="0" fillId="0" borderId="0" xfId="2" applyFont="1"/>
    <xf numFmtId="44" fontId="5" fillId="0" borderId="0" xfId="0" applyNumberFormat="1" applyFont="1"/>
    <xf numFmtId="16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3" fontId="7" fillId="0" borderId="0" xfId="0" applyNumberFormat="1" applyFont="1" applyAlignment="1">
      <alignment horizontal="right"/>
    </xf>
    <xf numFmtId="164" fontId="7" fillId="0" borderId="0" xfId="2" applyNumberFormat="1" applyFont="1" applyAlignment="1">
      <alignment horizontal="right"/>
    </xf>
    <xf numFmtId="0" fontId="7" fillId="0" borderId="0" xfId="0" applyFont="1" applyAlignment="1">
      <alignment vertical="center"/>
    </xf>
    <xf numFmtId="0" fontId="7" fillId="0" borderId="0" xfId="0" applyFont="1"/>
    <xf numFmtId="12" fontId="7" fillId="0" borderId="0" xfId="0" applyNumberFormat="1" applyFont="1" applyAlignment="1">
      <alignment vertical="center"/>
    </xf>
    <xf numFmtId="12" fontId="7" fillId="0" borderId="0" xfId="0" applyNumberFormat="1" applyFont="1"/>
    <xf numFmtId="12" fontId="7" fillId="0" borderId="0" xfId="0" applyNumberFormat="1" applyFont="1" applyAlignment="1">
      <alignment horizontal="right" vertical="center"/>
    </xf>
    <xf numFmtId="12" fontId="0" fillId="0" borderId="0" xfId="0" applyNumberFormat="1" applyAlignment="1">
      <alignment horizontal="center" vertical="center"/>
    </xf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alignment horizontal="center" vertical="bottom" textRotation="0" wrapText="0" indent="0" justifyLastLine="0" shrinkToFit="0" readingOrder="0"/>
    </dxf>
    <dxf>
      <numFmt numFmtId="17" formatCode="#\ ?/?"/>
    </dxf>
    <dxf>
      <numFmt numFmtId="21" formatCode="d\-mmm"/>
    </dxf>
    <dxf>
      <numFmt numFmtId="17" formatCode="#\ ?/?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$&quot;#,##0.0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7" formatCode="#\ ?/?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8" formatCode="#\ ??/??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312058</xdr:colOff>
      <xdr:row>0</xdr:row>
      <xdr:rowOff>115660</xdr:rowOff>
    </xdr:from>
    <xdr:to>
      <xdr:col>9</xdr:col>
      <xdr:colOff>459014</xdr:colOff>
      <xdr:row>1</xdr:row>
      <xdr:rowOff>129268</xdr:rowOff>
    </xdr:to>
    <xdr:sp macro="[0]!Save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7ABC97-728F-4173-AC14-F7CE03D67F81}"/>
            </a:ext>
          </a:extLst>
        </xdr:cNvPr>
        <xdr:cNvSpPr/>
      </xdr:nvSpPr>
      <xdr:spPr>
        <a:xfrm>
          <a:off x="5993040" y="115660"/>
          <a:ext cx="759278" cy="20410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</a:t>
          </a:r>
        </a:p>
      </xdr:txBody>
    </xdr:sp>
    <xdr:clientData/>
  </xdr:twoCellAnchor>
  <xdr:twoCellAnchor>
    <xdr:from>
      <xdr:col>10</xdr:col>
      <xdr:colOff>40822</xdr:colOff>
      <xdr:row>0</xdr:row>
      <xdr:rowOff>115660</xdr:rowOff>
    </xdr:from>
    <xdr:to>
      <xdr:col>11</xdr:col>
      <xdr:colOff>174171</xdr:colOff>
      <xdr:row>1</xdr:row>
      <xdr:rowOff>129268</xdr:rowOff>
    </xdr:to>
    <xdr:sp macro="[0]!ClearGlassNeeded.ClearGlassNeede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62A35BC-9742-44E5-AD7A-DF81CA160AE4}"/>
            </a:ext>
          </a:extLst>
        </xdr:cNvPr>
        <xdr:cNvSpPr/>
      </xdr:nvSpPr>
      <xdr:spPr>
        <a:xfrm>
          <a:off x="6946447" y="115660"/>
          <a:ext cx="759278" cy="20410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5</xdr:col>
      <xdr:colOff>20411</xdr:colOff>
      <xdr:row>0</xdr:row>
      <xdr:rowOff>115660</xdr:rowOff>
    </xdr:from>
    <xdr:to>
      <xdr:col>6</xdr:col>
      <xdr:colOff>363311</xdr:colOff>
      <xdr:row>1</xdr:row>
      <xdr:rowOff>129268</xdr:rowOff>
    </xdr:to>
    <xdr:sp macro="[0]!OrderGlas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FED1CDE-BD1C-4B30-ADDF-B64E5F42E470}"/>
            </a:ext>
          </a:extLst>
        </xdr:cNvPr>
        <xdr:cNvSpPr/>
      </xdr:nvSpPr>
      <xdr:spPr>
        <a:xfrm>
          <a:off x="3490232" y="115660"/>
          <a:ext cx="1057275" cy="20410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Glass Needed</a:t>
          </a:r>
        </a:p>
        <a:p>
          <a:pPr algn="ctr"/>
          <a:endParaRPr lang="en-US" sz="1100"/>
        </a:p>
      </xdr:txBody>
    </xdr:sp>
    <xdr:clientData/>
  </xdr:twoCellAnchor>
  <xdr:twoCellAnchor>
    <xdr:from>
      <xdr:col>7</xdr:col>
      <xdr:colOff>40368</xdr:colOff>
      <xdr:row>0</xdr:row>
      <xdr:rowOff>115660</xdr:rowOff>
    </xdr:from>
    <xdr:to>
      <xdr:col>8</xdr:col>
      <xdr:colOff>117929</xdr:colOff>
      <xdr:row>1</xdr:row>
      <xdr:rowOff>129268</xdr:rowOff>
    </xdr:to>
    <xdr:sp macro="[0]!CreatePDF.CreatePDF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B845A52-8D8D-4EBB-A6E4-550E01E42A60}"/>
            </a:ext>
          </a:extLst>
        </xdr:cNvPr>
        <xdr:cNvSpPr/>
      </xdr:nvSpPr>
      <xdr:spPr>
        <a:xfrm>
          <a:off x="4741636" y="115660"/>
          <a:ext cx="1057275" cy="20410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PDF</a:t>
          </a:r>
        </a:p>
        <a:p>
          <a:pPr algn="ctr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7" unboundColumnsRight="2">
    <queryTableFields count="12">
      <queryTableField id="1" name="Date" tableColumnId="1"/>
      <queryTableField id="2" name="Name" tableColumnId="2"/>
      <queryTableField id="3" name="Qty" tableColumnId="3"/>
      <queryTableField id="4" name="Width" tableColumnId="4"/>
      <queryTableField id="5" name="Height" tableColumnId="5"/>
      <queryTableField id="6" name="Thickness" tableColumnId="6"/>
      <queryTableField id="7" name="SqFt" tableColumnId="7"/>
      <queryTableField id="8" name="Type" tableColumnId="8"/>
      <queryTableField id="10" name="Grid" tableColumnId="10"/>
      <queryTableField id="11" name="Color" tableColumnId="11"/>
      <queryTableField id="15" dataBound="0" tableColumnId="9"/>
      <queryTableField id="16" dataBound="0" tableColumnId="12"/>
    </queryTableFields>
    <queryTableDeletedFields count="2">
      <deletedField name="NetRevenue"/>
      <deletedField name="Tempered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GlassEntered" displayName="GlassEntered" ref="A4:N6" insertRow="1" totalsRowCount="1" headerRowDxfId="28" dataDxfId="27">
  <tableColumns count="14">
    <tableColumn id="7" xr3:uid="{00000000-0010-0000-0000-000007000000}" name="Date" dataDxfId="26"/>
    <tableColumn id="10" xr3:uid="{00000000-0010-0000-0000-00000A000000}" name="Name" dataDxfId="25"/>
    <tableColumn id="11" xr3:uid="{00000000-0010-0000-0000-00000B000000}" name="Qty" totalsRowFunction="sum" dataDxfId="24" totalsRowDxfId="4"/>
    <tableColumn id="1" xr3:uid="{00000000-0010-0000-0000-000001000000}" name="Width" dataDxfId="23"/>
    <tableColumn id="2" xr3:uid="{00000000-0010-0000-0000-000002000000}" name="Height" dataDxfId="22"/>
    <tableColumn id="12" xr3:uid="{00000000-0010-0000-0000-00000C000000}" name="Thick" dataDxfId="21" totalsRowDxfId="3"/>
    <tableColumn id="3" xr3:uid="{00000000-0010-0000-0000-000003000000}" name="SqFt" dataDxfId="20" totalsRowDxfId="2">
      <calculatedColumnFormula>IF((ROUNDUP((GlassEntered[[#This Row],[Width]]*GlassEntered[[#This Row],[Height]])/144,0) * GlassEntered[[#This Row],[Qty]]) &lt; 4, 4, ROUNDUP((GlassEntered[[#This Row],[Width]]*GlassEntered[[#This Row],[Height]])/144,0) * GlassEntered[[#This Row],[Qty]])</calculatedColumnFormula>
    </tableColumn>
    <tableColumn id="4" xr3:uid="{00000000-0010-0000-0000-000004000000}" name="Type" dataDxfId="19" totalsRowDxfId="1"/>
    <tableColumn id="6" xr3:uid="{00000000-0010-0000-0000-000006000000}" name="Grid" dataDxfId="18"/>
    <tableColumn id="13" xr3:uid="{CAF5AEDC-FE5B-4407-B2B5-B713E49531FA}" name="Spacer" dataDxfId="17"/>
    <tableColumn id="8" xr3:uid="{00000000-0010-0000-0000-000008000000}" name="Color" dataDxfId="16"/>
    <tableColumn id="19" xr3:uid="{00000000-0010-0000-0000-000013000000}" name="VERT" dataDxfId="15"/>
    <tableColumn id="5" xr3:uid="{00000000-0010-0000-0000-000005000000}" name="HORI" dataDxfId="14"/>
    <tableColumn id="9" xr3:uid="{00000000-0010-0000-0000-000009000000}" name="Total" totalsRowFunction="sum" dataDxfId="13" totalsRowDxfId="0" dataCellStyle="Currency">
      <calculatedColumnFormula array="1">GlassEntered[[#This Row],[SqFt]]* ((IF(ISBLANK(GlassEntered[[#This Row],[Type]]),1,VLOOKUP(GlassEntered[[#This Row],[Type]],GlassTypeTbl[],(MATCH("Price",GlassTypeTbl[#Headers],0)),FALSE)) ) + (IF(ISBLANK(GlassEntered[[#This Row],[Grid]]),0,VLOOKUP(GlassEntered[[#This Row],[Grid]],Grid[],(MATCH("Price",Grid[#Headers],0)),FALSE))))* (TFee[#Data])* (Factor[#Data])* (Mup[#Data])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GetGlassNeeded" displayName="GetGlassNeeded" ref="A1:L2" tableType="queryTable" totalsRowShown="0">
  <autoFilter ref="A1:L2" xr:uid="{00000000-0009-0000-0100-000008000000}"/>
  <tableColumns count="12">
    <tableColumn id="1" xr3:uid="{00000000-0010-0000-0100-000001000000}" uniqueName="1" name="Date" queryTableFieldId="1"/>
    <tableColumn id="2" xr3:uid="{00000000-0010-0000-0100-000002000000}" uniqueName="2" name="Name" queryTableFieldId="2"/>
    <tableColumn id="3" xr3:uid="{00000000-0010-0000-0100-000003000000}" uniqueName="3" name="Qty" queryTableFieldId="3"/>
    <tableColumn id="4" xr3:uid="{00000000-0010-0000-0100-000004000000}" uniqueName="4" name="Width" queryTableFieldId="4"/>
    <tableColumn id="5" xr3:uid="{00000000-0010-0000-0100-000005000000}" uniqueName="5" name="Height" queryTableFieldId="5"/>
    <tableColumn id="6" xr3:uid="{00000000-0010-0000-0100-000006000000}" uniqueName="6" name="Thickness" queryTableFieldId="6"/>
    <tableColumn id="7" xr3:uid="{00000000-0010-0000-0100-000007000000}" uniqueName="7" name="SqFt" queryTableFieldId="7"/>
    <tableColumn id="8" xr3:uid="{00000000-0010-0000-0100-000008000000}" uniqueName="8" name="Type" queryTableFieldId="8"/>
    <tableColumn id="10" xr3:uid="{00000000-0010-0000-0100-00000A000000}" uniqueName="10" name="Grid" queryTableFieldId="10"/>
    <tableColumn id="11" xr3:uid="{00000000-0010-0000-0100-00000B000000}" uniqueName="11" name="Color" queryTableFieldId="11"/>
    <tableColumn id="9" xr3:uid="{00000000-0010-0000-0100-000009000000}" uniqueName="9" name="Vertical" queryTableFieldId="15"/>
    <tableColumn id="12" xr3:uid="{00000000-0010-0000-0100-00000C000000}" uniqueName="12" name="Horizontal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GlassTypeTbl" displayName="GlassTypeTbl" ref="B4:C15" totalsRowShown="0">
  <autoFilter ref="B4:C15" xr:uid="{00000000-0009-0000-0100-000001000000}"/>
  <tableColumns count="2">
    <tableColumn id="1" xr3:uid="{00000000-0010-0000-0200-000001000000}" name="Glass Type"/>
    <tableColumn id="2" xr3:uid="{00000000-0010-0000-0200-000002000000}" name="Price" dataDxfId="12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Grid" displayName="Grid" ref="E4:F7" totalsRowShown="0">
  <autoFilter ref="E4:F7" xr:uid="{00000000-0009-0000-0100-000004000000}"/>
  <tableColumns count="2">
    <tableColumn id="1" xr3:uid="{00000000-0010-0000-0300-000001000000}" name="Grid"/>
    <tableColumn id="2" xr3:uid="{00000000-0010-0000-0300-000002000000}" name="Price" dataDxfId="11" dataCellStyle="Currenc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Color" displayName="Color" ref="H4:H10" totalsRowShown="0">
  <autoFilter ref="H4:H10" xr:uid="{00000000-0009-0000-0100-000005000000}"/>
  <tableColumns count="1">
    <tableColumn id="1" xr3:uid="{00000000-0010-0000-0400-000001000000}" name="Col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7" displayName="Table7" ref="T4:T7" totalsRowShown="0" dataCellStyle="Hyperlink">
  <autoFilter ref="T4:T7" xr:uid="{00000000-0009-0000-0100-000007000000}"/>
  <tableColumns count="1">
    <tableColumn id="1" xr3:uid="{00000000-0010-0000-0500-000001000000}" name="Email Addresses" dataCellStyle="Hyperlink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HGrids" displayName="HGrids" ref="L4:L11" totalsRowShown="0">
  <autoFilter ref="L4:L11" xr:uid="{00000000-0009-0000-0100-000002000000}"/>
  <tableColumns count="1">
    <tableColumn id="1" xr3:uid="{00000000-0010-0000-0600-000001000000}" name="Horizont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VGrids" displayName="VGrids" ref="J4:J11" totalsRowShown="0">
  <autoFilter ref="J4:J11" xr:uid="{00000000-0009-0000-0100-000009000000}"/>
  <tableColumns count="1">
    <tableColumn id="1" xr3:uid="{00000000-0010-0000-0700-000001000000}" name="Vertic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Fee" displayName="TFee" ref="N4:N5" totalsRowShown="0" dataDxfId="10" dataCellStyle="Percent">
  <autoFilter ref="N4:N5" xr:uid="{00000000-0009-0000-0100-000006000000}"/>
  <tableColumns count="1">
    <tableColumn id="1" xr3:uid="{00000000-0010-0000-0800-000001000000}" name="Tfee" dataDxfId="9" dataCellStyle="Percen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Factor" displayName="Factor" ref="P4:P5" totalsRowShown="0" dataDxfId="8" dataCellStyle="Percent">
  <autoFilter ref="P4:P5" xr:uid="{00000000-0009-0000-0100-00000A000000}"/>
  <tableColumns count="1">
    <tableColumn id="1" xr3:uid="{00000000-0010-0000-0900-000001000000}" name="Factor" dataDxfId="7" dataCellStyle="Perce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up" displayName="Mup" ref="R4:R5" totalsRowShown="0" dataDxfId="6" dataCellStyle="Percent">
  <autoFilter ref="R4:R5" xr:uid="{00000000-0009-0000-0100-00000B000000}"/>
  <tableColumns count="1">
    <tableColumn id="1" xr3:uid="{00000000-0010-0000-0A00-000001000000}" name="Mup" dataDxfId="5" dataCellStyle="Perc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575554C-BB73-47CC-A7CD-B82594B3BC61}" name="Spacer" displayName="Spacer" ref="V4:W5" totalsRowShown="0">
  <autoFilter ref="V4:W5" xr:uid="{0575554C-BB73-47CC-A7CD-B82594B3BC61}"/>
  <tableColumns count="2">
    <tableColumn id="1" xr3:uid="{D3FAA904-D0B0-4A0C-9E20-43115D234BA0}" name="Spacer"/>
    <tableColumn id="2" xr3:uid="{C0755236-BEAD-491E-8734-B087EFEF44FC}" name="Price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hyperlink" Target="mailto:erskineson@erskineson.com" TargetMode="Externa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hyperlink" Target="mailto:bob_coe@yahoo.com" TargetMode="External"/><Relationship Id="rId1" Type="http://schemas.openxmlformats.org/officeDocument/2006/relationships/hyperlink" Target="mailto:roberttcoe@gmail.com" TargetMode="Externa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R21"/>
  <sheetViews>
    <sheetView showGridLines="0" tabSelected="1" zoomScale="233" zoomScaleNormal="233" workbookViewId="0">
      <selection activeCell="N16" sqref="N16"/>
    </sheetView>
  </sheetViews>
  <sheetFormatPr baseColWidth="10" defaultColWidth="8.83203125" defaultRowHeight="15" x14ac:dyDescent="0.2"/>
  <cols>
    <col min="1" max="1" width="15.5" customWidth="1"/>
    <col min="2" max="2" width="12.6640625" customWidth="1"/>
    <col min="3" max="3" width="7.5" style="8" customWidth="1"/>
    <col min="4" max="4" width="9.1640625" customWidth="1"/>
    <col min="5" max="5" width="10.5" customWidth="1"/>
    <col min="6" max="6" width="9" customWidth="1"/>
    <col min="7" max="7" width="8.5" customWidth="1"/>
    <col min="8" max="8" width="15.83203125" bestFit="1" customWidth="1"/>
    <col min="9" max="9" width="10" bestFit="1" customWidth="1"/>
    <col min="10" max="10" width="8.83203125" bestFit="1" customWidth="1"/>
    <col min="11" max="11" width="7.1640625" bestFit="1" customWidth="1"/>
    <col min="12" max="13" width="6.83203125" bestFit="1" customWidth="1"/>
    <col min="14" max="14" width="11.83203125" bestFit="1" customWidth="1"/>
    <col min="15" max="15" width="9.83203125" customWidth="1"/>
    <col min="16" max="16" width="13.33203125" bestFit="1" customWidth="1"/>
    <col min="17" max="17" width="20.83203125" bestFit="1" customWidth="1"/>
    <col min="19" max="19" width="10" customWidth="1"/>
    <col min="20" max="20" width="27.1640625" bestFit="1" customWidth="1"/>
    <col min="21" max="21" width="7.5" customWidth="1"/>
  </cols>
  <sheetData>
    <row r="2" spans="1:14" x14ac:dyDescent="0.2">
      <c r="H2" s="6"/>
    </row>
    <row r="3" spans="1:14" x14ac:dyDescent="0.2">
      <c r="A3" s="2" t="s">
        <v>20</v>
      </c>
      <c r="N3" s="2"/>
    </row>
    <row r="4" spans="1:14" ht="21" x14ac:dyDescent="0.25">
      <c r="A4" s="16" t="s">
        <v>0</v>
      </c>
      <c r="B4" s="16" t="s">
        <v>8</v>
      </c>
      <c r="C4" s="22" t="s">
        <v>2</v>
      </c>
      <c r="D4" s="23" t="s">
        <v>5</v>
      </c>
      <c r="E4" s="16" t="s">
        <v>6</v>
      </c>
      <c r="F4" s="16" t="s">
        <v>50</v>
      </c>
      <c r="G4" s="16" t="s">
        <v>12</v>
      </c>
      <c r="H4" s="16" t="s">
        <v>7</v>
      </c>
      <c r="I4" s="16" t="s">
        <v>10</v>
      </c>
      <c r="J4" s="16" t="s">
        <v>46</v>
      </c>
      <c r="K4" s="16" t="s">
        <v>11</v>
      </c>
      <c r="L4" s="16" t="s">
        <v>48</v>
      </c>
      <c r="M4" s="16" t="s">
        <v>47</v>
      </c>
      <c r="N4" s="17" t="s">
        <v>4</v>
      </c>
    </row>
    <row r="5" spans="1:14" ht="21" customHeight="1" x14ac:dyDescent="0.25">
      <c r="A5" s="18"/>
      <c r="B5" s="19"/>
      <c r="C5" s="24"/>
      <c r="D5" s="25"/>
      <c r="E5" s="26"/>
      <c r="F5" s="20"/>
      <c r="G5" s="26"/>
      <c r="H5" s="16"/>
      <c r="I5" s="19"/>
      <c r="J5" s="19"/>
      <c r="K5" s="19"/>
      <c r="L5" s="19"/>
      <c r="M5" s="19"/>
      <c r="N5" s="21"/>
    </row>
    <row r="6" spans="1:14" x14ac:dyDescent="0.2">
      <c r="C6" s="27">
        <f>SUBTOTAL(109,GlassEntered[Qty])</f>
        <v>0</v>
      </c>
      <c r="F6" s="14"/>
      <c r="G6" s="5"/>
      <c r="H6" s="3"/>
      <c r="N6" s="13">
        <f>SUBTOTAL(109,GlassEntered[Total])</f>
        <v>0</v>
      </c>
    </row>
    <row r="17" spans="15:18" ht="19" x14ac:dyDescent="0.25">
      <c r="O17" s="15"/>
    </row>
    <row r="20" spans="15:18" x14ac:dyDescent="0.2">
      <c r="O20" s="8"/>
      <c r="P20" s="8"/>
      <c r="Q20" s="8"/>
      <c r="R20" s="8"/>
    </row>
    <row r="21" spans="15:18" x14ac:dyDescent="0.2">
      <c r="O21" s="7"/>
      <c r="P21" s="7"/>
      <c r="Q21" s="7"/>
      <c r="R21" s="7"/>
    </row>
  </sheetData>
  <phoneticPr fontId="2" type="noConversion"/>
  <dataValidations count="6">
    <dataValidation type="list" allowBlank="1" showInputMessage="1" showErrorMessage="1" sqref="H5" xr:uid="{00000000-0002-0000-0000-000000000000}">
      <formula1>INDIRECT("GlassTypeTbl[Glass Type]")</formula1>
    </dataValidation>
    <dataValidation type="list" allowBlank="1" showInputMessage="1" showErrorMessage="1" sqref="I5" xr:uid="{00000000-0002-0000-0000-000001000000}">
      <formula1>INDIRECT("Grid[Grid]")</formula1>
    </dataValidation>
    <dataValidation type="list" allowBlank="1" showInputMessage="1" showErrorMessage="1" sqref="K5" xr:uid="{00000000-0002-0000-0000-000002000000}">
      <formula1>INDIRECT("Color[Color]")</formula1>
    </dataValidation>
    <dataValidation type="list" allowBlank="1" showInputMessage="1" showErrorMessage="1" sqref="L5" xr:uid="{00000000-0002-0000-0000-000003000000}">
      <formula1>INDIRECT("Vgrids[Vertical]")</formula1>
    </dataValidation>
    <dataValidation type="list" allowBlank="1" showInputMessage="1" showErrorMessage="1" sqref="M5" xr:uid="{00000000-0002-0000-0000-000004000000}">
      <formula1>INDIRECT("HGrids[Horizontal]")</formula1>
    </dataValidation>
    <dataValidation type="list" allowBlank="1" showInputMessage="1" showErrorMessage="1" sqref="J5" xr:uid="{7AE87511-7FDC-425A-8B60-FCCC2979F792}">
      <formula1>INDIRECT("Spacer[Spacer]")</formula1>
    </dataValidation>
  </dataValidations>
  <pageMargins left="0" right="0" top="0.5" bottom="0.5" header="0.3" footer="0.3"/>
  <pageSetup fitToWidth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5000000}">
          <x14:formula1>
            <xm:f>'LookUp Information'!$T$4:$T$7</xm:f>
          </x14:formula1>
          <xm:sqref>R21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27"/>
  <sheetViews>
    <sheetView workbookViewId="0">
      <selection sqref="A1:XFD1048576"/>
    </sheetView>
  </sheetViews>
  <sheetFormatPr baseColWidth="10" defaultColWidth="15.83203125" defaultRowHeight="15" x14ac:dyDescent="0.2"/>
  <sheetData>
    <row r="1" spans="1:12" x14ac:dyDescent="0.2">
      <c r="A1" t="s">
        <v>0</v>
      </c>
      <c r="B1" t="s">
        <v>8</v>
      </c>
      <c r="C1" t="s">
        <v>2</v>
      </c>
      <c r="D1" t="s">
        <v>5</v>
      </c>
      <c r="E1" t="s">
        <v>6</v>
      </c>
      <c r="F1" t="s">
        <v>9</v>
      </c>
      <c r="G1" t="s">
        <v>12</v>
      </c>
      <c r="H1" t="s">
        <v>7</v>
      </c>
      <c r="I1" t="s">
        <v>10</v>
      </c>
      <c r="J1" t="s">
        <v>11</v>
      </c>
      <c r="K1" t="s">
        <v>28</v>
      </c>
      <c r="L1" t="s">
        <v>29</v>
      </c>
    </row>
    <row r="2" spans="1:12" x14ac:dyDescent="0.2">
      <c r="A2">
        <v>1</v>
      </c>
    </row>
    <row r="7" spans="1:12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</row>
    <row r="8" spans="1:12" x14ac:dyDescent="0.2">
      <c r="A8" s="1"/>
      <c r="D8" s="5"/>
      <c r="E8" s="5"/>
      <c r="F8" s="4"/>
      <c r="G8" s="5"/>
      <c r="H8" s="3"/>
    </row>
    <row r="9" spans="1:12" x14ac:dyDescent="0.2">
      <c r="A9" s="1"/>
      <c r="F9" s="4"/>
      <c r="G9" s="5"/>
      <c r="H9" s="3"/>
    </row>
    <row r="10" spans="1:12" x14ac:dyDescent="0.2">
      <c r="A10" s="1"/>
      <c r="F10" s="4"/>
      <c r="G10" s="5"/>
      <c r="H10" s="3"/>
    </row>
    <row r="11" spans="1:12" x14ac:dyDescent="0.2">
      <c r="A11" s="1"/>
      <c r="F11" s="4"/>
      <c r="G11" s="5"/>
      <c r="H11" s="3"/>
    </row>
    <row r="12" spans="1:12" x14ac:dyDescent="0.2">
      <c r="A12" s="1"/>
      <c r="D12" s="5"/>
      <c r="E12" s="5"/>
      <c r="F12" s="4"/>
      <c r="G12" s="5"/>
      <c r="H12" s="3"/>
    </row>
    <row r="13" spans="1:12" x14ac:dyDescent="0.2">
      <c r="G13" s="5"/>
      <c r="H13" s="3"/>
    </row>
    <row r="16" spans="1:12" x14ac:dyDescent="0.2">
      <c r="L16" s="8"/>
    </row>
    <row r="21" spans="13:14" x14ac:dyDescent="0.2">
      <c r="M21" s="10"/>
      <c r="N21" s="8"/>
    </row>
    <row r="22" spans="13:14" x14ac:dyDescent="0.2">
      <c r="M22" s="12"/>
    </row>
    <row r="23" spans="13:14" x14ac:dyDescent="0.2">
      <c r="M23" s="12"/>
    </row>
    <row r="24" spans="13:14" x14ac:dyDescent="0.2">
      <c r="M24" s="12"/>
    </row>
    <row r="25" spans="13:14" x14ac:dyDescent="0.2">
      <c r="M25" s="12"/>
    </row>
    <row r="26" spans="13:14" x14ac:dyDescent="0.2">
      <c r="M26" s="12"/>
    </row>
    <row r="27" spans="13:14" x14ac:dyDescent="0.2">
      <c r="M27" s="12"/>
    </row>
  </sheetData>
  <pageMargins left="0.7" right="0.7" top="0.75" bottom="0.75" header="0.3" footer="0.3"/>
  <pageSetup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'LookUp Information'!$H$5:$H$9</xm:f>
          </x14:formula1>
          <xm:sqref>J8:J12</xm:sqref>
        </x14:dataValidation>
        <x14:dataValidation type="list" allowBlank="1" showInputMessage="1" showErrorMessage="1" xr:uid="{00000000-0002-0000-0100-000001000000}">
          <x14:formula1>
            <xm:f>'LookUp Information'!$E$5:$E$6</xm:f>
          </x14:formula1>
          <xm:sqref>I8:I12</xm:sqref>
        </x14:dataValidation>
        <x14:dataValidation type="list" allowBlank="1" showInputMessage="1" showErrorMessage="1" xr:uid="{00000000-0002-0000-0100-000002000000}">
          <x14:formula1>
            <xm:f>'LookUp Information'!$B$4:$B$9</xm:f>
          </x14:formula1>
          <xm:sqref>H8:H12</xm:sqref>
        </x14:dataValidation>
        <x14:dataValidation type="list" allowBlank="1" showInputMessage="1" showErrorMessage="1" xr:uid="{00000000-0002-0000-0100-000003000000}">
          <x14:formula1>
            <xm:f>'LookUp Information'!$J$4:$J$8</xm:f>
          </x14:formula1>
          <xm:sqref>K8:K12</xm:sqref>
        </x14:dataValidation>
        <x14:dataValidation type="list" allowBlank="1" showInputMessage="1" showErrorMessage="1" xr:uid="{00000000-0002-0000-0100-000004000000}">
          <x14:formula1>
            <xm:f>'LookUp Information'!$L$4:$L$8</xm:f>
          </x14:formula1>
          <xm:sqref>L17:L21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W15"/>
  <sheetViews>
    <sheetView zoomScale="140" zoomScaleNormal="140" workbookViewId="0">
      <selection activeCell="T7" sqref="T7"/>
    </sheetView>
  </sheetViews>
  <sheetFormatPr baseColWidth="10" defaultColWidth="8.83203125" defaultRowHeight="15" x14ac:dyDescent="0.2"/>
  <cols>
    <col min="2" max="2" width="19.5" bestFit="1" customWidth="1"/>
    <col min="4" max="4" width="7.33203125" customWidth="1"/>
    <col min="6" max="6" width="12.6640625" customWidth="1"/>
    <col min="7" max="7" width="5.33203125" customWidth="1"/>
    <col min="8" max="8" width="10.1640625" bestFit="1" customWidth="1"/>
    <col min="9" max="9" width="5.83203125" customWidth="1"/>
    <col min="10" max="10" width="13" customWidth="1"/>
    <col min="11" max="11" width="5.6640625" customWidth="1"/>
    <col min="12" max="12" width="15.33203125" bestFit="1" customWidth="1"/>
    <col min="13" max="13" width="15.1640625" customWidth="1"/>
    <col min="20" max="20" width="27.1640625" bestFit="1" customWidth="1"/>
  </cols>
  <sheetData>
    <row r="3" spans="2:23" x14ac:dyDescent="0.2">
      <c r="B3" t="s">
        <v>21</v>
      </c>
      <c r="E3" t="s">
        <v>10</v>
      </c>
      <c r="H3" t="s">
        <v>11</v>
      </c>
      <c r="J3" t="s">
        <v>30</v>
      </c>
      <c r="L3" t="s">
        <v>31</v>
      </c>
      <c r="T3" t="s">
        <v>32</v>
      </c>
    </row>
    <row r="4" spans="2:23" x14ac:dyDescent="0.2">
      <c r="B4" t="s">
        <v>1</v>
      </c>
      <c r="C4" t="s">
        <v>3</v>
      </c>
      <c r="E4" t="s">
        <v>10</v>
      </c>
      <c r="F4" t="s">
        <v>3</v>
      </c>
      <c r="H4" t="s">
        <v>11</v>
      </c>
      <c r="J4" t="s">
        <v>28</v>
      </c>
      <c r="L4" t="s">
        <v>29</v>
      </c>
      <c r="N4" t="s">
        <v>33</v>
      </c>
      <c r="P4" t="s">
        <v>34</v>
      </c>
      <c r="R4" t="s">
        <v>35</v>
      </c>
      <c r="T4" t="s">
        <v>16</v>
      </c>
      <c r="V4" t="s">
        <v>46</v>
      </c>
      <c r="W4" t="s">
        <v>3</v>
      </c>
    </row>
    <row r="5" spans="2:23" x14ac:dyDescent="0.2">
      <c r="B5" t="s">
        <v>22</v>
      </c>
      <c r="C5" s="12">
        <v>10</v>
      </c>
      <c r="E5" t="s">
        <v>14</v>
      </c>
      <c r="F5" s="12">
        <v>4</v>
      </c>
      <c r="H5" t="s">
        <v>13</v>
      </c>
      <c r="J5">
        <v>1</v>
      </c>
      <c r="L5">
        <v>1</v>
      </c>
      <c r="N5" s="11">
        <v>1.06</v>
      </c>
      <c r="O5" s="9"/>
      <c r="P5" s="11">
        <v>1.75</v>
      </c>
      <c r="Q5" s="9"/>
      <c r="R5" s="11">
        <v>1.2</v>
      </c>
      <c r="S5" s="9"/>
      <c r="T5" s="6" t="s">
        <v>17</v>
      </c>
      <c r="V5" t="s">
        <v>25</v>
      </c>
      <c r="W5" s="12">
        <v>3</v>
      </c>
    </row>
    <row r="6" spans="2:23" x14ac:dyDescent="0.2">
      <c r="B6" t="s">
        <v>23</v>
      </c>
      <c r="C6" s="12">
        <v>12.25</v>
      </c>
      <c r="E6" t="s">
        <v>39</v>
      </c>
      <c r="F6" s="12">
        <v>5</v>
      </c>
      <c r="H6" t="s">
        <v>15</v>
      </c>
      <c r="J6">
        <v>2</v>
      </c>
      <c r="L6">
        <v>2</v>
      </c>
      <c r="T6" s="6" t="s">
        <v>18</v>
      </c>
    </row>
    <row r="7" spans="2:23" x14ac:dyDescent="0.2">
      <c r="B7" t="s">
        <v>36</v>
      </c>
      <c r="C7" s="12">
        <v>11</v>
      </c>
      <c r="E7" t="s">
        <v>45</v>
      </c>
      <c r="F7" s="12">
        <v>5</v>
      </c>
      <c r="H7" t="s">
        <v>25</v>
      </c>
      <c r="J7">
        <v>3</v>
      </c>
      <c r="L7">
        <v>3</v>
      </c>
      <c r="T7" s="6" t="s">
        <v>19</v>
      </c>
    </row>
    <row r="8" spans="2:23" x14ac:dyDescent="0.2">
      <c r="B8" t="s">
        <v>40</v>
      </c>
      <c r="C8" s="12">
        <v>15.5</v>
      </c>
      <c r="H8" t="s">
        <v>26</v>
      </c>
      <c r="J8">
        <v>4</v>
      </c>
      <c r="L8">
        <v>4</v>
      </c>
    </row>
    <row r="9" spans="2:23" x14ac:dyDescent="0.2">
      <c r="B9" t="s">
        <v>24</v>
      </c>
      <c r="C9" s="12">
        <v>14</v>
      </c>
      <c r="H9" t="s">
        <v>27</v>
      </c>
      <c r="J9">
        <v>5</v>
      </c>
      <c r="L9">
        <v>5</v>
      </c>
    </row>
    <row r="10" spans="2:23" x14ac:dyDescent="0.2">
      <c r="B10" t="s">
        <v>37</v>
      </c>
      <c r="C10" s="12">
        <v>16.5</v>
      </c>
      <c r="H10" t="s">
        <v>49</v>
      </c>
      <c r="J10">
        <v>6</v>
      </c>
      <c r="L10">
        <v>6</v>
      </c>
    </row>
    <row r="11" spans="2:23" x14ac:dyDescent="0.2">
      <c r="B11" t="s">
        <v>41</v>
      </c>
      <c r="C11" s="12">
        <v>16.25</v>
      </c>
      <c r="J11">
        <v>7</v>
      </c>
      <c r="L11">
        <v>7</v>
      </c>
    </row>
    <row r="12" spans="2:23" x14ac:dyDescent="0.2">
      <c r="B12" t="s">
        <v>38</v>
      </c>
      <c r="C12" s="12">
        <v>19</v>
      </c>
    </row>
    <row r="13" spans="2:23" x14ac:dyDescent="0.2">
      <c r="B13" t="s">
        <v>42</v>
      </c>
      <c r="C13" s="12">
        <v>10.5</v>
      </c>
    </row>
    <row r="14" spans="2:23" x14ac:dyDescent="0.2">
      <c r="B14" t="s">
        <v>43</v>
      </c>
      <c r="C14" s="12">
        <v>15.5</v>
      </c>
    </row>
    <row r="15" spans="2:23" x14ac:dyDescent="0.2">
      <c r="B15" t="s">
        <v>44</v>
      </c>
      <c r="C15" s="12">
        <v>5</v>
      </c>
    </row>
  </sheetData>
  <hyperlinks>
    <hyperlink ref="T5" r:id="rId1" xr:uid="{00000000-0004-0000-0200-000000000000}"/>
    <hyperlink ref="T6" r:id="rId2" xr:uid="{00000000-0004-0000-0200-000001000000}"/>
    <hyperlink ref="T7" r:id="rId3" xr:uid="{00000000-0004-0000-0200-000002000000}"/>
  </hyperlinks>
  <pageMargins left="0.7" right="0.7" top="0.75" bottom="0.75" header="0.3" footer="0.3"/>
  <pageSetup orientation="portrait" horizontalDpi="0" verticalDpi="0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E5A59-679E-4AD3-A370-BAEE8A9B1F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Enter Information</vt:lpstr>
      <vt:lpstr>Glass Needed</vt:lpstr>
      <vt:lpstr>LookUp Information</vt:lpstr>
      <vt:lpstr>NamedTable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Coe</dc:creator>
  <cp:lastModifiedBy>terri karafa</cp:lastModifiedBy>
  <cp:lastPrinted>2024-10-18T10:07:42Z</cp:lastPrinted>
  <dcterms:created xsi:type="dcterms:W3CDTF">2020-10-22T14:16:16Z</dcterms:created>
  <dcterms:modified xsi:type="dcterms:W3CDTF">2026-08-15T13:44:16Z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31ef649-45d3-4e5d-80df-d43468de9a5e_Enabled">
    <vt:lpwstr>true</vt:lpwstr>
  </property>
  <property fmtid="{D5CDD505-2E9C-101B-9397-08002B2CF9AE}" pid="3" name="MSIP_Label_631ef649-45d3-4e5d-80df-d43468de9a5e_SetDate">
    <vt:lpwstr>2022-01-04T16:46:43Z</vt:lpwstr>
  </property>
  <property fmtid="{D5CDD505-2E9C-101B-9397-08002B2CF9AE}" pid="4" name="MSIP_Label_631ef649-45d3-4e5d-80df-d43468de9a5e_Method">
    <vt:lpwstr>Privileged</vt:lpwstr>
  </property>
  <property fmtid="{D5CDD505-2E9C-101B-9397-08002B2CF9AE}" pid="5" name="MSIP_Label_631ef649-45d3-4e5d-80df-d43468de9a5e_Name">
    <vt:lpwstr>Unclassified</vt:lpwstr>
  </property>
  <property fmtid="{D5CDD505-2E9C-101B-9397-08002B2CF9AE}" pid="6" name="MSIP_Label_631ef649-45d3-4e5d-80df-d43468de9a5e_SiteId">
    <vt:lpwstr>771c9c47-7f24-44dc-958e-34f8713a8394</vt:lpwstr>
  </property>
  <property fmtid="{D5CDD505-2E9C-101B-9397-08002B2CF9AE}" pid="7" name="MSIP_Label_631ef649-45d3-4e5d-80df-d43468de9a5e_ActionId">
    <vt:lpwstr>009cec3e-5577-47a7-836c-6fe6c430c5d1</vt:lpwstr>
  </property>
  <property fmtid="{D5CDD505-2E9C-101B-9397-08002B2CF9AE}" pid="8" name="MSIP_Label_631ef649-45d3-4e5d-80df-d43468de9a5e_ContentBits">
    <vt:lpwstr>0</vt:lpwstr>
  </property>
</Properties>
</file>